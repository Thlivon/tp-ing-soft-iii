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gonza\Documents\GitHub\tp-ing-soft-iii\tests\pruebas_analiticas\"/>
    </mc:Choice>
  </mc:AlternateContent>
  <bookViews>
    <workbookView xWindow="0" yWindow="0" windowWidth="28800" windowHeight="12330"/>
  </bookViews>
  <sheets>
    <sheet name="Casos de Prueba" sheetId="1" r:id="rId1"/>
    <sheet name="Resumen" sheetId="2" r:id="rId2"/>
    <sheet name="Archivos de Prueba" sheetId="3" r:id="rId3"/>
  </sheets>
  <calcPr calcId="162913"/>
</workbook>
</file>

<file path=xl/calcChain.xml><?xml version="1.0" encoding="utf-8"?>
<calcChain xmlns="http://schemas.openxmlformats.org/spreadsheetml/2006/main">
  <c r="B12" i="2" l="1"/>
  <c r="B11" i="2"/>
  <c r="B10" i="2"/>
  <c r="B9" i="2"/>
  <c r="B8" i="2"/>
  <c r="B6" i="2"/>
  <c r="B5" i="2"/>
  <c r="B4" i="2"/>
  <c r="B3" i="2"/>
</calcChain>
</file>

<file path=xl/sharedStrings.xml><?xml version="1.0" encoding="utf-8"?>
<sst xmlns="http://schemas.openxmlformats.org/spreadsheetml/2006/main" count="239" uniqueCount="162">
  <si>
    <t>ID</t>
  </si>
  <si>
    <t>Categoria</t>
  </si>
  <si>
    <t>Nombre</t>
  </si>
  <si>
    <t>Descripcion</t>
  </si>
  <si>
    <t>Pre-condiciones</t>
  </si>
  <si>
    <t>Pasos</t>
  </si>
  <si>
    <t>Resultado Esperado</t>
  </si>
  <si>
    <t>Resultado Obtenido</t>
  </si>
  <si>
    <t>Estado</t>
  </si>
  <si>
    <t>Observaciones</t>
  </si>
  <si>
    <t>Fecha Ejecucion</t>
  </si>
  <si>
    <t>Ejecutado por</t>
  </si>
  <si>
    <t>TC-001</t>
  </si>
  <si>
    <t>Usuario mas activo</t>
  </si>
  <si>
    <t>El usuario con mas mensajes es identificado correctamente</t>
  </si>
  <si>
    <t>Verifica que la app identifica correctamente al participante que envio la mayor cantidad de mensajes en el chat.</t>
  </si>
  <si>
    <t>App corriendo en localhost:8501. Archivo chat_analiticas.txt disponible. El archivo contiene mensajes de Juan (3) y Maria (2).</t>
  </si>
  <si>
    <t>1. Cargar chat_analiticas.txt.
2. Verificar el resultado del participante mas activo.
3. Confirmar que el usuario indicado y la cantidad de mensajes son correctos.</t>
  </si>
  <si>
    <t>El resultado indica que Juan es el participante mas activo con 3 mensajes enviados.</t>
  </si>
  <si>
    <t>Juan es identificado como el participante mas activo con 3 mensajes enviados. Maria tiene 2 mensajes.</t>
  </si>
  <si>
    <t>OK</t>
  </si>
  <si>
    <t>2026-05-12</t>
  </si>
  <si>
    <t>Gonzalo Boquete</t>
  </si>
  <si>
    <t>TC-002</t>
  </si>
  <si>
    <t>Con un unico participante, ese usuario es el mas activo</t>
  </si>
  <si>
    <t>Verifica que cuando el chat tiene un solo participante, ese participante es identificado como el mas activo.</t>
  </si>
  <si>
    <t>App corriendo. Archivo chat_un_usuario.txt disponible. El archivo contiene solo mensajes de Juan (3 mensajes).</t>
  </si>
  <si>
    <t>1. Cargar chat_un_usuario.txt.
2. Verificar el resultado del participante mas activo.</t>
  </si>
  <si>
    <t>Juan es identificado como el participante mas activo con 3 mensajes enviados. Es el unico participante del chat.</t>
  </si>
  <si>
    <t>TC-003</t>
  </si>
  <si>
    <t>Sin mensajes no se identifica ningun usuario activo</t>
  </si>
  <si>
    <t>Verifica que cuando el archivo no contiene mensajes en formato WhatsApp, no se reporta ningun usuario como activo.</t>
  </si>
  <si>
    <t>App corriendo. Archivo texto_libre.txt disponible.</t>
  </si>
  <si>
    <t>1. Cargar texto_libre.txt.
2. Verificar que no se reporta ningun participante activo.</t>
  </si>
  <si>
    <t>No se identifica ningun participante activo. El resultado no contiene usuario ni conteo de mensajes.</t>
  </si>
  <si>
    <t>No se identifica ningun participante activo. El archivo no contiene mensajes en formato WhatsApp.</t>
  </si>
  <si>
    <t>TC-004</t>
  </si>
  <si>
    <t>Emoji mas utilizado</t>
  </si>
  <si>
    <t>El emoji que aparece mas veces es identificado correctamente</t>
  </si>
  <si>
    <t>Verifica que la app identifica correctamente el emoji con mayor frecuencia de uso en el chat.</t>
  </si>
  <si>
    <t>App corriendo. Archivo chat_emojis_conteo.txt disponible. El archivo contiene 3 emojis de pulgar arriba, 2 de cara sonriente y 1 de mano saludando.</t>
  </si>
  <si>
    <t>1. Cargar chat_emojis_conteo.txt.
2. Verificar el resultado del emoji mas utilizado.
3. Confirmar que el emoji indicado y su cantidad son correctos.</t>
  </si>
  <si>
    <t>El emoji de pulgar arriba es identificado como el mas utilizado, con 3 apariciones en el chat.</t>
  </si>
  <si>
    <t>El emoji de pulgar arriba es identificado como el mas utilizado con 3 apariciones. Le siguen el emoji de cara sonriente con 2 apariciones y el de mano saludando con 1.</t>
  </si>
  <si>
    <t>El emoji mas utilizado se almacena en formato de texto (por ejemplo, el emoji de pulgar arriba queda guardado como su nombre textual). Al mostrar el resultado en el dashboard, sera necesario convertirlo de vuelta al simbolo visual para que sea legible para el usuario.</t>
  </si>
  <si>
    <t>TC-005</t>
  </si>
  <si>
    <t>Un chat sin emojis no reporta ningun emoji como el mas utilizado</t>
  </si>
  <si>
    <t>Verifica que cuando el chat no contiene emojis, no se reporta ningun emoji como el mas utilizado.</t>
  </si>
  <si>
    <t>App corriendo. Archivo chat_sin_emojis.txt disponible.</t>
  </si>
  <si>
    <t>1. Cargar chat_sin_emojis.txt.
2. Verificar que no se reporta ningun emoji.</t>
  </si>
  <si>
    <t>No se identifica ningun emoji. El resultado no contiene emoji ni conteo.</t>
  </si>
  <si>
    <t>No se identifica ningun emoji. El chat no contiene emojis en ningun mensaje.</t>
  </si>
  <si>
    <t>TC-006</t>
  </si>
  <si>
    <t>Franja horaria</t>
  </si>
  <si>
    <t>La franja horaria con todos los mensajes se calcula correctamente</t>
  </si>
  <si>
    <t>Verifica que cuando todos los mensajes del chat se enviaron en la misma hora, esa franja es identificada como la mas activa con el total de mensajes.</t>
  </si>
  <si>
    <t>App corriendo. Archivo chat_analiticas.txt disponible. Todos los mensajes fueron enviados entre las 21:00 y las 22:00.</t>
  </si>
  <si>
    <t>1. Cargar chat_analiticas.txt.
2. Verificar la franja horaria reportada y la cantidad de mensajes.</t>
  </si>
  <si>
    <t>La franja "21:00 - 22:00" es identificada como la mas activa con 5 mensajes.</t>
  </si>
  <si>
    <t>La franja "21:00 - 22:00" es identificada como la mas activa con 5 mensajes. Es la unica franja con actividad.</t>
  </si>
  <si>
    <t>TC-007</t>
  </si>
  <si>
    <t>La franja con mayor cantidad de mensajes se identifica cuando hay varias franjas</t>
  </si>
  <si>
    <t>Verifica que cuando los mensajes se distribuyen en distintas horas, la franja con mas mensajes es correctamente identificada.</t>
  </si>
  <si>
    <t>App corriendo. Archivo chat_multihora.txt disponible. 2 mensajes a las 8:00, 2 a las 14:00 y 3 a las 21:00.</t>
  </si>
  <si>
    <t>1. Cargar chat_multihora.txt.
2. Verificar la franja horaria reportada y la cantidad de mensajes.</t>
  </si>
  <si>
    <t>La franja "21:00 - 22:00" es identificada como la mas activa con 3 mensajes.</t>
  </si>
  <si>
    <t>La franja "21:00 - 22:00" es identificada como la mas activa con 3 mensajes. Las franjas de las 8:00 y las 14:00 tienen 2 mensajes cada una.</t>
  </si>
  <si>
    <t>TC-008</t>
  </si>
  <si>
    <t>Sin mensajes no se reporta ninguna franja horaria</t>
  </si>
  <si>
    <t>Verifica que cuando el archivo no contiene mensajes validos, no se reporta ninguna franja horaria.</t>
  </si>
  <si>
    <t>1. Cargar texto_libre.txt.
2. Verificar que no se reporta ninguna franja horaria.</t>
  </si>
  <si>
    <t>No se identifica ninguna franja horaria. El resultado no contiene franja ni conteo de mensajes.</t>
  </si>
  <si>
    <t>No se identifica ninguna franja horaria. El archivo no contiene mensajes validos.</t>
  </si>
  <si>
    <t>TC-009</t>
  </si>
  <si>
    <t>Actividad por dia</t>
  </si>
  <si>
    <t>El dia con todos los mensajes muestra el 100% de actividad</t>
  </si>
  <si>
    <t>Verifica que cuando todos los mensajes se enviaron el mismo dia de la semana, ese dia muestra el 100% de la actividad.</t>
  </si>
  <si>
    <t>App corriendo. Archivo chat_analiticas.txt disponible. Todos los mensajes fueron enviados un sabado.</t>
  </si>
  <si>
    <t>1. Cargar chat_analiticas.txt.
2. Verificar el porcentaje de actividad del sabado.</t>
  </si>
  <si>
    <t>El sabado (Saturday) muestra el 100% de actividad. El resto de los dias muestran 0%.</t>
  </si>
  <si>
    <t>Saturday muestra el 100% de actividad. El resto de los dias (Monday, Tuesday, Wednesday, Thursday, Friday, Sunday) muestran 0%.</t>
  </si>
  <si>
    <t>TC-010</t>
  </si>
  <si>
    <t>Los porcentajes son correctos cuando los mensajes se distribuyen entre varios dias</t>
  </si>
  <si>
    <t>Verifica que los porcentajes de actividad por dia son calculados correctamente cuando los mensajes se distribuyen en varios dias de la semana.</t>
  </si>
  <si>
    <t>App corriendo. Archivo chat_multidias.txt disponible. 2 mensajes el lunes, 2 el miercoles y 1 el viernes, totalizando 5 mensajes.</t>
  </si>
  <si>
    <t>1. Cargar chat_multidias.txt.
2. Verificar los porcentajes de actividad de lunes, miercoles y viernes.</t>
  </si>
  <si>
    <t>Lunes (Monday) 40%, Miercoles (Wednesday) 40%, Viernes (Friday) 20%.</t>
  </si>
  <si>
    <t>Monday muestra 40% de actividad, Wednesday 40% y Friday 20%. Los porcentajes calculados son correctos.</t>
  </si>
  <si>
    <t>TC-011</t>
  </si>
  <si>
    <t>Los dias sin mensajes muestran 0% de actividad</t>
  </si>
  <si>
    <t>Verifica que los dias de la semana que no tienen mensajes muestran 0% de actividad en el resultado.</t>
  </si>
  <si>
    <t>App corriendo. Archivo chat_multidias.txt disponible. No hay mensajes los martes, jueves, sabados ni domingos.</t>
  </si>
  <si>
    <t>1. Cargar chat_multidias.txt.
2. Verificar los porcentajes de actividad de los dias sin mensajes.</t>
  </si>
  <si>
    <t>Martes (Tuesday), Jueves (Thursday), Sabado (Saturday) y Domingo (Sunday) muestran 0% de actividad.</t>
  </si>
  <si>
    <t>Tuesday, Thursday, Saturday y Sunday muestran 0% de actividad. No se enviaron mensajes en esos dias.</t>
  </si>
  <si>
    <t>TC-012</t>
  </si>
  <si>
    <t>El ranking de actividad esta ordenado de mayor a menor porcentaje</t>
  </si>
  <si>
    <t>Verifica que el ranking de actividad por dia ordena los dias de mayor a menor porcentaje.</t>
  </si>
  <si>
    <t>App corriendo. Archivo chat_multidias.txt disponible.</t>
  </si>
  <si>
    <t>1. Cargar chat_multidias.txt.
2. Verificar el orden del ranking de actividad.</t>
  </si>
  <si>
    <t>El ranking muestra primero los dias con mayor porcentaje (Lunes y Miercoles con 40% cada uno) y al final el dia con menor porcentaje (Viernes con 20%).</t>
  </si>
  <si>
    <t>El ranking muestra primero Monday y Wednesday con 40% cada uno, y al final Friday con 20%. El orden de mayor a menor porcentaje es correcto.</t>
  </si>
  <si>
    <t>TC-013</t>
  </si>
  <si>
    <t>Frecuencia de palabras</t>
  </si>
  <si>
    <t>Las palabras se contabilizan correctamente</t>
  </si>
  <si>
    <t>Verifica que la frecuencia de cada palabra en el chat es contada correctamente.</t>
  </si>
  <si>
    <t>App corriendo. Archivo chat_palabras.txt disponible. El archivo contiene "hola" 3 veces, "bien" 2 veces y "adios" 1 vez.</t>
  </si>
  <si>
    <t>1. Cargar chat_palabras.txt.
2. Verificar el conteo de las palabras "hola", "bien" y "adios".</t>
  </si>
  <si>
    <t>"hola" aparece 3 veces, "bien" 2 veces y "adios" 1 vez.</t>
  </si>
  <si>
    <t>"hola" aparece 3 veces, "bien" 2 veces y "adios" 1 vez. Los conteos son correctos.</t>
  </si>
  <si>
    <t>TC-014</t>
  </si>
  <si>
    <t>Las palabras excluidas no se incluyen en el conteo</t>
  </si>
  <si>
    <t>Verifica que las palabras que no deben contabilizarse (articulos, preposiciones, etc.) no aparecen en el conteo de palabras.</t>
  </si>
  <si>
    <t>App corriendo. Archivo chat_palabras.txt disponible. El archivo contiene las palabras "de", "y" y "la".</t>
  </si>
  <si>
    <t>1. Cargar chat_palabras.txt.
2. Verificar que "de", "y" y "la" no aparecen en el conteo de palabras.</t>
  </si>
  <si>
    <t>Las palabras "de", "y" y "la" no aparecen en el resultado de frecuencia de palabras.</t>
  </si>
  <si>
    <t>Las palabras "de", "y" y "la" no aparecen en el resultado de frecuencia de palabras. El resultado contiene unicamente: hola, bien, adios.</t>
  </si>
  <si>
    <t>TC-015</t>
  </si>
  <si>
    <t>Los signos de puntuacion no afectan el conteo de palabras</t>
  </si>
  <si>
    <t>Verifica que una palabra seguida de un signo de puntuacion es contada junto con la misma palabra sin puntuacion.</t>
  </si>
  <si>
    <t>App corriendo. Archivo chat_palabras.txt disponible. El archivo contiene "hola!" y "hola" en distintos mensajes.</t>
  </si>
  <si>
    <t>1. Cargar chat_palabras.txt.
2. Verificar que "hola!" y "hola" se contabilizan como una sola palabra.</t>
  </si>
  <si>
    <t>La palabra "hola" aparece con un conteo unificado que incluye tanto las ocurrencias con signo de puntuacion como sin el. Total: 3 apariciones.</t>
  </si>
  <si>
    <t>La palabra "hola" acumula 3 apariciones en total, contabilizando tanto "hola!" (con signo de puntuacion) como "hola" (sin el). La puntuacion no genera conteos separados.</t>
  </si>
  <si>
    <t>TC-016</t>
  </si>
  <si>
    <t>Los emojis no se contabilizan como palabras</t>
  </si>
  <si>
    <t>Verifica que los emojis presentes en los mensajes no son contabilizados como palabras en el resultado de frecuencia.</t>
  </si>
  <si>
    <t>App corriendo. Archivo chat_emojis_conteo.txt disponible.</t>
  </si>
  <si>
    <t>1. Cargar chat_emojis_conteo.txt.
2. Verificar que los emojis no aparecen en el conteo de palabras.</t>
  </si>
  <si>
    <t>Los emojis no aparecen en el resultado de frecuencia de palabras. Solo se contabilizan las palabras de texto del chat.</t>
  </si>
  <si>
    <t>Los emojis no aparecen en el resultado de frecuencia de palabras. El resultado contiene unicamente palabras de texto: hola, bueno, bien, hasta, luego.</t>
  </si>
  <si>
    <t>TC-017</t>
  </si>
  <si>
    <t>Las palabras estan ordenadas de mas a menos frecuentes</t>
  </si>
  <si>
    <t>Verifica que el listado de palabras frecuentes esta ordenado correctamente, mostrando primero las palabras con mayor cantidad de apariciones.</t>
  </si>
  <si>
    <t>App corriendo. Archivo chat_palabras.txt disponible.</t>
  </si>
  <si>
    <t>1. Cargar chat_palabras.txt.
2. Verificar el orden del listado de palabras frecuentes.</t>
  </si>
  <si>
    <t>El listado muestra primero "hola" (3 apariciones), luego "bien" (2 apariciones) y al final "adios" (1 aparicion).</t>
  </si>
  <si>
    <t>El listado muestra primero "hola" con 3 apariciones, luego "bien" con 2 y al final "adios" con 1. El orden de mayor a menor frecuencia es correcto.</t>
  </si>
  <si>
    <t>Resumen de Ejecucion - Pruebas Analiticas</t>
  </si>
  <si>
    <t>Total de casos</t>
  </si>
  <si>
    <t>Casos OK</t>
  </si>
  <si>
    <t>Casos FALLO</t>
  </si>
  <si>
    <t>Sin ejecutar</t>
  </si>
  <si>
    <t>% Aprobacion</t>
  </si>
  <si>
    <t>Casos por categoria</t>
  </si>
  <si>
    <t>Nombre del archivo</t>
  </si>
  <si>
    <t>Formato</t>
  </si>
  <si>
    <t>Usado en</t>
  </si>
  <si>
    <t>chat_analiticas.txt</t>
  </si>
  <si>
    <t>.txt</t>
  </si>
  <si>
    <t>TC-001, TC-006, TC-009</t>
  </si>
  <si>
    <t>chat_un_usuario.txt</t>
  </si>
  <si>
    <t>texto_libre.txt</t>
  </si>
  <si>
    <t>TC-003, TC-008</t>
  </si>
  <si>
    <t>chat_emojis_conteo.txt</t>
  </si>
  <si>
    <t>TC-004, TC-016</t>
  </si>
  <si>
    <t>chat_sin_emojis.txt</t>
  </si>
  <si>
    <t>chat_multihora.txt</t>
  </si>
  <si>
    <t>chat_multidias.txt</t>
  </si>
  <si>
    <t>TC-010, TC-011, TC-012</t>
  </si>
  <si>
    <t>chat_palabras.txt</t>
  </si>
  <si>
    <t>TC-013, TC-014, TC-015, TC-017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</si>
</sst>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b/>
      <sz val="11"/>
      <color rgb="FFFFFFFF"/>
      <name val="Calibri"/>
    </font>
    <font>
      <b/>
      <sz val="13"/>
      <color rgb="FFFFFFFF"/>
      <name val="Calibri"/>
    </font>
    <font>
      <b/>
      <sz val="11"/>
      <name val="Calibri"/>
    </font>
    <font>
      <sz val="11"/>
      <name val="Calibri"/>
    </font>
  </fonts>
  <fills count="8">
    <fill>
      <patternFill patternType="none"/>
    </fill>
    <fill>
      <patternFill patternType="gray125"/>
    </fill>
    <fill>
      <patternFill patternType="solid">
        <fgColor rgb="FF2F5496"/>
        <bgColor rgb="FF2F5496"/>
      </patternFill>
    </fill>
    <fill>
      <patternFill patternType="solid">
        <fgColor rgb="FFD6EAF8"/>
        <bgColor rgb="FFD6EAF8"/>
      </patternFill>
    </fill>
    <fill>
      <patternFill patternType="solid">
        <fgColor rgb="FF1F4E79"/>
        <bgColor rgb="FF1F4E79"/>
      </patternFill>
    </fill>
    <fill>
      <patternFill patternType="solid">
        <fgColor rgb="FF2E75B6"/>
        <bgColor rgb="FF2E75B6"/>
      </patternFill>
    </fill>
    <fill>
      <patternFill patternType="solid">
        <fgColor rgb="FFD6E4F0"/>
        <bgColor rgb="FFD6E4F0"/>
      </patternFill>
    </fill>
    <fill>
      <patternFill patternType="solid">
        <fgColor rgb="FFC6EFCE"/>
        <bgColor rgb="FFC6EFCE"/>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vertical="top" wrapText="1"/>
    </xf>
    <xf numFmtId="0" fontId="2" fillId="4" borderId="0" xfId="0" applyFont="1" applyFill="1"/>
    <xf numFmtId="0" fontId="0" fillId="4" borderId="0" xfId="0" applyFill="1"/>
    <xf numFmtId="0" fontId="3" fillId="0" borderId="1" xfId="0" applyFont="1" applyBorder="1" applyAlignment="1">
      <alignment horizontal="left" vertical="center"/>
    </xf>
    <xf numFmtId="0" fontId="4" fillId="0" borderId="1" xfId="0" applyFont="1" applyBorder="1" applyAlignment="1">
      <alignment horizontal="center" vertical="center"/>
    </xf>
    <xf numFmtId="0" fontId="1" fillId="5" borderId="0" xfId="0" applyFont="1" applyFill="1"/>
    <xf numFmtId="0" fontId="0" fillId="5" borderId="0" xfId="0" applyFill="1"/>
    <xf numFmtId="0" fontId="4" fillId="6" borderId="1" xfId="0" applyFont="1" applyFill="1" applyBorder="1" applyAlignment="1">
      <alignment horizontal="left" vertical="center"/>
    </xf>
    <xf numFmtId="0" fontId="4" fillId="6" borderId="1" xfId="0" applyFont="1" applyFill="1" applyBorder="1" applyAlignment="1">
      <alignment horizontal="center" vertical="center"/>
    </xf>
    <xf numFmtId="0" fontId="0" fillId="7" borderId="0" xfId="0" applyFill="1" applyAlignment="1">
      <alignment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
  <sheetViews>
    <sheetView tabSelected="1" topLeftCell="F1" workbookViewId="0">
      <selection activeCell="J2" sqref="J2"/>
    </sheetView>
  </sheetViews>
  <sheetFormatPr baseColWidth="10" defaultColWidth="9.140625" defaultRowHeight="15"/>
  <cols>
    <col min="1" max="1" width="6.85546875" style="13" bestFit="1" customWidth="1"/>
    <col min="2" max="2" width="21.42578125" style="13" bestFit="1" customWidth="1"/>
    <col min="3" max="3" width="45" style="13" customWidth="1"/>
    <col min="4" max="4" width="50" style="13" customWidth="1"/>
    <col min="5" max="5" width="48" style="13" customWidth="1"/>
    <col min="6" max="6" width="57.28515625" style="13" bestFit="1" customWidth="1"/>
    <col min="7" max="7" width="49.85546875" style="13" bestFit="1" customWidth="1"/>
    <col min="8" max="8" width="50" style="13" customWidth="1"/>
    <col min="9" max="9" width="6.85546875" style="13" bestFit="1" customWidth="1"/>
    <col min="10" max="10" width="63.7109375" style="13" bestFit="1" customWidth="1"/>
    <col min="11" max="11" width="15" style="13" bestFit="1" customWidth="1"/>
    <col min="12" max="12" width="16.28515625" style="13" bestFit="1" customWidth="1"/>
    <col min="13" max="16384" width="9.140625" style="13"/>
  </cols>
  <sheetData>
    <row r="1" spans="1:12" ht="30" customHeight="1">
      <c r="A1" s="1" t="s">
        <v>0</v>
      </c>
      <c r="B1" s="1" t="s">
        <v>1</v>
      </c>
      <c r="C1" s="1" t="s">
        <v>2</v>
      </c>
      <c r="D1" s="1" t="s">
        <v>3</v>
      </c>
      <c r="E1" s="1" t="s">
        <v>4</v>
      </c>
      <c r="F1" s="1" t="s">
        <v>5</v>
      </c>
      <c r="G1" s="1" t="s">
        <v>6</v>
      </c>
      <c r="H1" s="1" t="s">
        <v>7</v>
      </c>
      <c r="I1" s="1" t="s">
        <v>8</v>
      </c>
      <c r="J1" s="1" t="s">
        <v>9</v>
      </c>
      <c r="K1" s="1" t="s">
        <v>10</v>
      </c>
      <c r="L1" s="1" t="s">
        <v>11</v>
      </c>
    </row>
    <row r="2" spans="1:12" ht="72" customHeight="1">
      <c r="A2" s="2" t="s">
        <v>12</v>
      </c>
      <c r="B2" s="3" t="s">
        <v>13</v>
      </c>
      <c r="C2" s="2" t="s">
        <v>14</v>
      </c>
      <c r="D2" s="2" t="s">
        <v>15</v>
      </c>
      <c r="E2" s="2" t="s">
        <v>16</v>
      </c>
      <c r="F2" s="2" t="s">
        <v>17</v>
      </c>
      <c r="G2" s="2" t="s">
        <v>18</v>
      </c>
      <c r="H2" s="2" t="s">
        <v>19</v>
      </c>
      <c r="I2" s="12" t="s">
        <v>20</v>
      </c>
      <c r="J2" s="2"/>
      <c r="K2" s="2" t="s">
        <v>21</v>
      </c>
      <c r="L2" s="2" t="s">
        <v>22</v>
      </c>
    </row>
    <row r="3" spans="1:12" ht="72" customHeight="1">
      <c r="A3" s="2" t="s">
        <v>23</v>
      </c>
      <c r="B3" s="3" t="s">
        <v>13</v>
      </c>
      <c r="C3" s="2" t="s">
        <v>24</v>
      </c>
      <c r="D3" s="2" t="s">
        <v>25</v>
      </c>
      <c r="E3" s="2" t="s">
        <v>26</v>
      </c>
      <c r="F3" s="2" t="s">
        <v>27</v>
      </c>
      <c r="G3" s="2" t="s">
        <v>18</v>
      </c>
      <c r="H3" s="2" t="s">
        <v>28</v>
      </c>
      <c r="I3" s="12" t="s">
        <v>20</v>
      </c>
      <c r="J3" s="2"/>
      <c r="K3" s="2" t="s">
        <v>21</v>
      </c>
      <c r="L3" s="2" t="s">
        <v>22</v>
      </c>
    </row>
    <row r="4" spans="1:12" ht="72" customHeight="1">
      <c r="A4" s="2" t="s">
        <v>29</v>
      </c>
      <c r="B4" s="3" t="s">
        <v>13</v>
      </c>
      <c r="C4" s="2" t="s">
        <v>30</v>
      </c>
      <c r="D4" s="2" t="s">
        <v>31</v>
      </c>
      <c r="E4" s="2" t="s">
        <v>32</v>
      </c>
      <c r="F4" s="2" t="s">
        <v>33</v>
      </c>
      <c r="G4" s="2" t="s">
        <v>34</v>
      </c>
      <c r="H4" s="2" t="s">
        <v>35</v>
      </c>
      <c r="I4" s="12" t="s">
        <v>20</v>
      </c>
      <c r="J4" s="2"/>
      <c r="K4" s="2" t="s">
        <v>21</v>
      </c>
      <c r="L4" s="2" t="s">
        <v>22</v>
      </c>
    </row>
    <row r="5" spans="1:12" ht="72" customHeight="1">
      <c r="A5" s="2" t="s">
        <v>36</v>
      </c>
      <c r="B5" s="3" t="s">
        <v>37</v>
      </c>
      <c r="C5" s="2" t="s">
        <v>38</v>
      </c>
      <c r="D5" s="2" t="s">
        <v>39</v>
      </c>
      <c r="E5" s="2" t="s">
        <v>40</v>
      </c>
      <c r="F5" s="2" t="s">
        <v>41</v>
      </c>
      <c r="G5" s="2" t="s">
        <v>42</v>
      </c>
      <c r="H5" s="2" t="s">
        <v>43</v>
      </c>
      <c r="I5" s="12" t="s">
        <v>20</v>
      </c>
      <c r="J5" s="2" t="s">
        <v>44</v>
      </c>
      <c r="K5" s="2" t="s">
        <v>21</v>
      </c>
      <c r="L5" s="2" t="s">
        <v>22</v>
      </c>
    </row>
    <row r="6" spans="1:12" ht="72" customHeight="1">
      <c r="A6" s="2" t="s">
        <v>45</v>
      </c>
      <c r="B6" s="3" t="s">
        <v>37</v>
      </c>
      <c r="C6" s="2" t="s">
        <v>46</v>
      </c>
      <c r="D6" s="2" t="s">
        <v>47</v>
      </c>
      <c r="E6" s="2" t="s">
        <v>48</v>
      </c>
      <c r="F6" s="2" t="s">
        <v>49</v>
      </c>
      <c r="G6" s="2" t="s">
        <v>50</v>
      </c>
      <c r="H6" s="2" t="s">
        <v>51</v>
      </c>
      <c r="I6" s="12" t="s">
        <v>20</v>
      </c>
      <c r="J6" s="2"/>
      <c r="K6" s="2" t="s">
        <v>21</v>
      </c>
      <c r="L6" s="2" t="s">
        <v>22</v>
      </c>
    </row>
    <row r="7" spans="1:12" ht="72" customHeight="1">
      <c r="A7" s="2" t="s">
        <v>52</v>
      </c>
      <c r="B7" s="3" t="s">
        <v>53</v>
      </c>
      <c r="C7" s="2" t="s">
        <v>54</v>
      </c>
      <c r="D7" s="2" t="s">
        <v>55</v>
      </c>
      <c r="E7" s="2" t="s">
        <v>56</v>
      </c>
      <c r="F7" s="2" t="s">
        <v>57</v>
      </c>
      <c r="G7" s="2" t="s">
        <v>58</v>
      </c>
      <c r="H7" s="2" t="s">
        <v>59</v>
      </c>
      <c r="I7" s="12" t="s">
        <v>20</v>
      </c>
      <c r="J7" s="2"/>
      <c r="K7" s="2" t="s">
        <v>21</v>
      </c>
      <c r="L7" s="2" t="s">
        <v>22</v>
      </c>
    </row>
    <row r="8" spans="1:12" ht="72" customHeight="1">
      <c r="A8" s="2" t="s">
        <v>60</v>
      </c>
      <c r="B8" s="3" t="s">
        <v>53</v>
      </c>
      <c r="C8" s="2" t="s">
        <v>61</v>
      </c>
      <c r="D8" s="2" t="s">
        <v>62</v>
      </c>
      <c r="E8" s="2" t="s">
        <v>63</v>
      </c>
      <c r="F8" s="2" t="s">
        <v>64</v>
      </c>
      <c r="G8" s="2" t="s">
        <v>65</v>
      </c>
      <c r="H8" s="2" t="s">
        <v>66</v>
      </c>
      <c r="I8" s="12" t="s">
        <v>20</v>
      </c>
      <c r="J8" s="2"/>
      <c r="K8" s="2" t="s">
        <v>21</v>
      </c>
      <c r="L8" s="2" t="s">
        <v>22</v>
      </c>
    </row>
    <row r="9" spans="1:12" ht="72" customHeight="1">
      <c r="A9" s="2" t="s">
        <v>67</v>
      </c>
      <c r="B9" s="3" t="s">
        <v>53</v>
      </c>
      <c r="C9" s="2" t="s">
        <v>68</v>
      </c>
      <c r="D9" s="2" t="s">
        <v>69</v>
      </c>
      <c r="E9" s="2" t="s">
        <v>32</v>
      </c>
      <c r="F9" s="2" t="s">
        <v>70</v>
      </c>
      <c r="G9" s="2" t="s">
        <v>71</v>
      </c>
      <c r="H9" s="2" t="s">
        <v>72</v>
      </c>
      <c r="I9" s="12" t="s">
        <v>20</v>
      </c>
      <c r="J9" s="2"/>
      <c r="K9" s="2" t="s">
        <v>21</v>
      </c>
      <c r="L9" s="2" t="s">
        <v>22</v>
      </c>
    </row>
    <row r="10" spans="1:12" ht="72" customHeight="1">
      <c r="A10" s="2" t="s">
        <v>73</v>
      </c>
      <c r="B10" s="3" t="s">
        <v>74</v>
      </c>
      <c r="C10" s="2" t="s">
        <v>75</v>
      </c>
      <c r="D10" s="2" t="s">
        <v>76</v>
      </c>
      <c r="E10" s="2" t="s">
        <v>77</v>
      </c>
      <c r="F10" s="2" t="s">
        <v>78</v>
      </c>
      <c r="G10" s="2" t="s">
        <v>79</v>
      </c>
      <c r="H10" s="2" t="s">
        <v>80</v>
      </c>
      <c r="I10" s="12" t="s">
        <v>20</v>
      </c>
      <c r="J10" s="2"/>
      <c r="K10" s="2" t="s">
        <v>21</v>
      </c>
      <c r="L10" s="2" t="s">
        <v>22</v>
      </c>
    </row>
    <row r="11" spans="1:12" ht="72" customHeight="1">
      <c r="A11" s="2" t="s">
        <v>81</v>
      </c>
      <c r="B11" s="3" t="s">
        <v>74</v>
      </c>
      <c r="C11" s="2" t="s">
        <v>82</v>
      </c>
      <c r="D11" s="2" t="s">
        <v>83</v>
      </c>
      <c r="E11" s="2" t="s">
        <v>84</v>
      </c>
      <c r="F11" s="2" t="s">
        <v>85</v>
      </c>
      <c r="G11" s="2" t="s">
        <v>86</v>
      </c>
      <c r="H11" s="2" t="s">
        <v>87</v>
      </c>
      <c r="I11" s="12" t="s">
        <v>20</v>
      </c>
      <c r="J11" s="2"/>
      <c r="K11" s="2" t="s">
        <v>21</v>
      </c>
      <c r="L11" s="2" t="s">
        <v>22</v>
      </c>
    </row>
    <row r="12" spans="1:12" ht="72" customHeight="1">
      <c r="A12" s="2" t="s">
        <v>88</v>
      </c>
      <c r="B12" s="3" t="s">
        <v>74</v>
      </c>
      <c r="C12" s="2" t="s">
        <v>89</v>
      </c>
      <c r="D12" s="2" t="s">
        <v>90</v>
      </c>
      <c r="E12" s="2" t="s">
        <v>91</v>
      </c>
      <c r="F12" s="2" t="s">
        <v>92</v>
      </c>
      <c r="G12" s="2" t="s">
        <v>93</v>
      </c>
      <c r="H12" s="2" t="s">
        <v>94</v>
      </c>
      <c r="I12" s="12" t="s">
        <v>20</v>
      </c>
      <c r="J12" s="2"/>
      <c r="K12" s="2" t="s">
        <v>21</v>
      </c>
      <c r="L12" s="2" t="s">
        <v>22</v>
      </c>
    </row>
    <row r="13" spans="1:12" ht="72" customHeight="1">
      <c r="A13" s="2" t="s">
        <v>95</v>
      </c>
      <c r="B13" s="3" t="s">
        <v>74</v>
      </c>
      <c r="C13" s="2" t="s">
        <v>96</v>
      </c>
      <c r="D13" s="2" t="s">
        <v>97</v>
      </c>
      <c r="E13" s="2" t="s">
        <v>98</v>
      </c>
      <c r="F13" s="2" t="s">
        <v>99</v>
      </c>
      <c r="G13" s="2" t="s">
        <v>100</v>
      </c>
      <c r="H13" s="2" t="s">
        <v>101</v>
      </c>
      <c r="I13" s="12" t="s">
        <v>20</v>
      </c>
      <c r="J13" s="2"/>
      <c r="K13" s="2" t="s">
        <v>21</v>
      </c>
      <c r="L13" s="2" t="s">
        <v>22</v>
      </c>
    </row>
    <row r="14" spans="1:12" ht="72" customHeight="1">
      <c r="A14" s="2" t="s">
        <v>102</v>
      </c>
      <c r="B14" s="3" t="s">
        <v>103</v>
      </c>
      <c r="C14" s="2" t="s">
        <v>104</v>
      </c>
      <c r="D14" s="2" t="s">
        <v>105</v>
      </c>
      <c r="E14" s="2" t="s">
        <v>106</v>
      </c>
      <c r="F14" s="2" t="s">
        <v>107</v>
      </c>
      <c r="G14" s="2" t="s">
        <v>108</v>
      </c>
      <c r="H14" s="2" t="s">
        <v>109</v>
      </c>
      <c r="I14" s="12" t="s">
        <v>20</v>
      </c>
      <c r="J14" s="2"/>
      <c r="K14" s="2" t="s">
        <v>21</v>
      </c>
      <c r="L14" s="2" t="s">
        <v>22</v>
      </c>
    </row>
    <row r="15" spans="1:12" ht="72" customHeight="1">
      <c r="A15" s="2" t="s">
        <v>110</v>
      </c>
      <c r="B15" s="3" t="s">
        <v>103</v>
      </c>
      <c r="C15" s="2" t="s">
        <v>111</v>
      </c>
      <c r="D15" s="2" t="s">
        <v>112</v>
      </c>
      <c r="E15" s="2" t="s">
        <v>113</v>
      </c>
      <c r="F15" s="2" t="s">
        <v>114</v>
      </c>
      <c r="G15" s="2" t="s">
        <v>115</v>
      </c>
      <c r="H15" s="2" t="s">
        <v>116</v>
      </c>
      <c r="I15" s="12" t="s">
        <v>20</v>
      </c>
      <c r="J15" s="2"/>
      <c r="K15" s="2" t="s">
        <v>21</v>
      </c>
      <c r="L15" s="2" t="s">
        <v>22</v>
      </c>
    </row>
    <row r="16" spans="1:12" ht="72" customHeight="1">
      <c r="A16" s="2" t="s">
        <v>117</v>
      </c>
      <c r="B16" s="3" t="s">
        <v>103</v>
      </c>
      <c r="C16" s="2" t="s">
        <v>118</v>
      </c>
      <c r="D16" s="2" t="s">
        <v>119</v>
      </c>
      <c r="E16" s="2" t="s">
        <v>120</v>
      </c>
      <c r="F16" s="2" t="s">
        <v>121</v>
      </c>
      <c r="G16" s="2" t="s">
        <v>122</v>
      </c>
      <c r="H16" s="2" t="s">
        <v>123</v>
      </c>
      <c r="I16" s="12" t="s">
        <v>20</v>
      </c>
      <c r="J16" s="2"/>
      <c r="K16" s="2" t="s">
        <v>21</v>
      </c>
      <c r="L16" s="2" t="s">
        <v>22</v>
      </c>
    </row>
    <row r="17" spans="1:12" ht="72" customHeight="1">
      <c r="A17" s="2" t="s">
        <v>124</v>
      </c>
      <c r="B17" s="3" t="s">
        <v>103</v>
      </c>
      <c r="C17" s="2" t="s">
        <v>125</v>
      </c>
      <c r="D17" s="2" t="s">
        <v>126</v>
      </c>
      <c r="E17" s="2" t="s">
        <v>127</v>
      </c>
      <c r="F17" s="2" t="s">
        <v>128</v>
      </c>
      <c r="G17" s="2" t="s">
        <v>129</v>
      </c>
      <c r="H17" s="2" t="s">
        <v>130</v>
      </c>
      <c r="I17" s="12" t="s">
        <v>20</v>
      </c>
      <c r="J17" s="2"/>
      <c r="K17" s="2" t="s">
        <v>21</v>
      </c>
      <c r="L17" s="2" t="s">
        <v>22</v>
      </c>
    </row>
    <row r="18" spans="1:12" ht="72" customHeight="1">
      <c r="A18" s="2" t="s">
        <v>131</v>
      </c>
      <c r="B18" s="3" t="s">
        <v>103</v>
      </c>
      <c r="C18" s="2" t="s">
        <v>132</v>
      </c>
      <c r="D18" s="2" t="s">
        <v>133</v>
      </c>
      <c r="E18" s="2" t="s">
        <v>134</v>
      </c>
      <c r="F18" s="2" t="s">
        <v>135</v>
      </c>
      <c r="G18" s="2" t="s">
        <v>136</v>
      </c>
      <c r="H18" s="2" t="s">
        <v>137</v>
      </c>
      <c r="I18" s="12" t="s">
        <v>20</v>
      </c>
      <c r="J18" s="2"/>
      <c r="K18" s="2" t="s">
        <v>21</v>
      </c>
      <c r="L18" s="2" t="s">
        <v>22</v>
      </c>
    </row>
  </sheetData>
  <dataValidations count="1">
    <dataValidation type="list" allowBlank="1" sqref="I2 I3 I4 I5 I6 I7 I8 I9 I10 I11 I12 I13 I14 I15 I16 I17 I18">
      <formula1>"OK,FALLO,BLOQUEADO,N/A"</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heetViews>
  <sheetFormatPr baseColWidth="10" defaultColWidth="9.140625" defaultRowHeight="15"/>
  <cols>
    <col min="1" max="1" width="38" customWidth="1"/>
    <col min="2" max="2" width="16" customWidth="1"/>
  </cols>
  <sheetData>
    <row r="1" spans="1:2" ht="27.95" customHeight="1">
      <c r="A1" s="4" t="s">
        <v>138</v>
      </c>
      <c r="B1" s="5"/>
    </row>
    <row r="2" spans="1:2" ht="20.100000000000001" customHeight="1">
      <c r="A2" s="6" t="s">
        <v>139</v>
      </c>
      <c r="B2" s="7">
        <v>17</v>
      </c>
    </row>
    <row r="3" spans="1:2" ht="20.100000000000001" customHeight="1">
      <c r="A3" s="6" t="s">
        <v>140</v>
      </c>
      <c r="B3" s="7">
        <f>COUNTIF('Casos de Prueba'!I2:I18,"OK")</f>
        <v>17</v>
      </c>
    </row>
    <row r="4" spans="1:2" ht="20.100000000000001" customHeight="1">
      <c r="A4" s="6" t="s">
        <v>141</v>
      </c>
      <c r="B4" s="7">
        <f>COUNTIF('Casos de Prueba'!I2:I18,"FALLO")</f>
        <v>0</v>
      </c>
    </row>
    <row r="5" spans="1:2" ht="20.100000000000001" customHeight="1">
      <c r="A5" s="6" t="s">
        <v>142</v>
      </c>
      <c r="B5" s="7">
        <f>COUNTBLANK('Casos de Prueba'!I2:I18)</f>
        <v>0</v>
      </c>
    </row>
    <row r="6" spans="1:2" ht="20.100000000000001" customHeight="1">
      <c r="A6" s="6" t="s">
        <v>143</v>
      </c>
      <c r="B6" s="7">
        <f>IFERROR(COUNTIF('Casos de Prueba'!I2:I18,"OK")/(17-COUNTBLANK('Casos de Prueba'!I2:I18))*100,0)</f>
        <v>100</v>
      </c>
    </row>
    <row r="7" spans="1:2" ht="21.95" customHeight="1">
      <c r="A7" s="8" t="s">
        <v>144</v>
      </c>
      <c r="B7" s="9"/>
    </row>
    <row r="8" spans="1:2" ht="20.100000000000001" customHeight="1">
      <c r="A8" s="10" t="s">
        <v>13</v>
      </c>
      <c r="B8" s="11">
        <f>COUNTIF('Casos de Prueba'!B2:B18,"Usuario mas activo")</f>
        <v>3</v>
      </c>
    </row>
    <row r="9" spans="1:2" ht="20.100000000000001" customHeight="1">
      <c r="A9" s="10" t="s">
        <v>37</v>
      </c>
      <c r="B9" s="11">
        <f>COUNTIF('Casos de Prueba'!B2:B18,"Emoji mas utilizado")</f>
        <v>2</v>
      </c>
    </row>
    <row r="10" spans="1:2" ht="20.100000000000001" customHeight="1">
      <c r="A10" s="10" t="s">
        <v>53</v>
      </c>
      <c r="B10" s="11">
        <f>COUNTIF('Casos de Prueba'!B2:B18,"Franja horaria")</f>
        <v>3</v>
      </c>
    </row>
    <row r="11" spans="1:2" ht="20.100000000000001" customHeight="1">
      <c r="A11" s="10" t="s">
        <v>74</v>
      </c>
      <c r="B11" s="11">
        <f>COUNTIF('Casos de Prueba'!B2:B18,"Actividad por dia")</f>
        <v>4</v>
      </c>
    </row>
    <row r="12" spans="1:2" ht="20.100000000000001" customHeight="1">
      <c r="A12" s="10" t="s">
        <v>103</v>
      </c>
      <c r="B12" s="11">
        <f>COUNTIF('Casos de Prueba'!B2:B18,"Frecuencia de palabras")</f>
        <v>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sheetViews>
  <sheetFormatPr baseColWidth="10" defaultColWidth="9.140625" defaultRowHeight="15"/>
  <cols>
    <col min="1" max="1" width="32" customWidth="1"/>
    <col min="2" max="2" width="10" customWidth="1"/>
    <col min="3" max="3" width="40" customWidth="1"/>
  </cols>
  <sheetData>
    <row r="1" spans="1:3">
      <c r="A1" s="1" t="s">
        <v>145</v>
      </c>
      <c r="B1" s="1" t="s">
        <v>146</v>
      </c>
      <c r="C1" s="1" t="s">
        <v>147</v>
      </c>
    </row>
    <row r="2" spans="1:3" ht="21.95" customHeight="1">
      <c r="A2" s="2" t="s">
        <v>148</v>
      </c>
      <c r="B2" s="2" t="s">
        <v>149</v>
      </c>
      <c r="C2" s="2" t="s">
        <v>150</v>
      </c>
    </row>
    <row r="3" spans="1:3" ht="21.95" customHeight="1">
      <c r="A3" s="2" t="s">
        <v>151</v>
      </c>
      <c r="B3" s="2" t="s">
        <v>149</v>
      </c>
      <c r="C3" s="2" t="s">
        <v>23</v>
      </c>
    </row>
    <row r="4" spans="1:3" ht="21.95" customHeight="1">
      <c r="A4" s="2" t="s">
        <v>152</v>
      </c>
      <c r="B4" s="2" t="s">
        <v>149</v>
      </c>
      <c r="C4" s="2" t="s">
        <v>153</v>
      </c>
    </row>
    <row r="5" spans="1:3" ht="21.95" customHeight="1">
      <c r="A5" s="2" t="s">
        <v>154</v>
      </c>
      <c r="B5" s="2" t="s">
        <v>149</v>
      </c>
      <c r="C5" s="2" t="s">
        <v>155</v>
      </c>
    </row>
    <row r="6" spans="1:3" ht="21.95" customHeight="1">
      <c r="A6" s="2" t="s">
        <v>156</v>
      </c>
      <c r="B6" s="2" t="s">
        <v>149</v>
      </c>
      <c r="C6" s="2" t="s">
        <v>45</v>
      </c>
    </row>
    <row r="7" spans="1:3" ht="21.95" customHeight="1">
      <c r="A7" s="2" t="s">
        <v>157</v>
      </c>
      <c r="B7" s="2" t="s">
        <v>149</v>
      </c>
      <c r="C7" s="2" t="s">
        <v>60</v>
      </c>
    </row>
    <row r="8" spans="1:3" ht="21.95" customHeight="1">
      <c r="A8" s="2" t="s">
        <v>158</v>
      </c>
      <c r="B8" s="2" t="s">
        <v>149</v>
      </c>
      <c r="C8" s="2" t="s">
        <v>159</v>
      </c>
    </row>
    <row r="9" spans="1:3" ht="21.95" customHeight="1">
      <c r="A9" s="2" t="s">
        <v>160</v>
      </c>
      <c r="B9" s="2" t="s">
        <v>149</v>
      </c>
      <c r="C9" s="2" t="s">
        <v>161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Casos de Prueba</vt:lpstr>
      <vt:lpstr>Resumen</vt:lpstr>
      <vt:lpstr>Archivos de Prueba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gonzalo boquete</cp:lastModifiedBy>
  <dcterms:created xsi:type="dcterms:W3CDTF">2026-05-13T03:27:37Z</dcterms:created>
  <dcterms:modified xsi:type="dcterms:W3CDTF">2026-05-14T23:06:00Z</dcterms:modified>
</cp:coreProperties>
</file>