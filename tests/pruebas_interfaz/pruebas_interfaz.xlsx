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onza\Documents\GitHub\tp-ing-soft-iii\tests\pruebas_interfaz\"/>
    </mc:Choice>
  </mc:AlternateContent>
  <bookViews>
    <workbookView xWindow="0" yWindow="0" windowWidth="28800" windowHeight="12330"/>
  </bookViews>
  <sheets>
    <sheet name="Casos de Prueba" sheetId="1" r:id="rId1"/>
    <sheet name="Resumen" sheetId="2" r:id="rId2"/>
    <sheet name="Archivos de Prueba" sheetId="3" r:id="rId3"/>
  </sheets>
  <calcPr calcId="162913"/>
</workbook>
</file>

<file path=xl/calcChain.xml><?xml version="1.0" encoding="utf-8"?>
<calcChain xmlns="http://schemas.openxmlformats.org/spreadsheetml/2006/main">
  <c r="B14" i="2" l="1"/>
  <c r="B13" i="2"/>
  <c r="B12" i="2"/>
  <c r="B11" i="2"/>
  <c r="B10" i="2"/>
  <c r="B9" i="2"/>
  <c r="B6" i="2"/>
  <c r="B5" i="2"/>
  <c r="B4" i="2"/>
  <c r="B3" i="2"/>
</calcChain>
</file>

<file path=xl/sharedStrings.xml><?xml version="1.0" encoding="utf-8"?>
<sst xmlns="http://schemas.openxmlformats.org/spreadsheetml/2006/main" count="212" uniqueCount="142">
  <si>
    <t>ID</t>
  </si>
  <si>
    <t>Categoria</t>
  </si>
  <si>
    <t>Nombre</t>
  </si>
  <si>
    <t>Descripcion</t>
  </si>
  <si>
    <t>Pre-condiciones</t>
  </si>
  <si>
    <t>Pasos</t>
  </si>
  <si>
    <t>Resultado Esperado</t>
  </si>
  <si>
    <t>Resultado Obtenido</t>
  </si>
  <si>
    <t>Estado</t>
  </si>
  <si>
    <t>Observaciones</t>
  </si>
  <si>
    <t>Fecha Ejecucion</t>
  </si>
  <si>
    <t>Ejecutado por</t>
  </si>
  <si>
    <t>TC-001</t>
  </si>
  <si>
    <t>Pantalla inicial</t>
  </si>
  <si>
    <t>La pantalla inicial muestra el titulo y la descripcion de la aplicacion</t>
  </si>
  <si>
    <t>Verifica que los elementos de bienvenida esten presentes al abrir la aplicacion.</t>
  </si>
  <si>
    <t>Aplicacion abierta en el navegador, sin archivos cargados.</t>
  </si>
  <si>
    <t>1. Abrir la aplicacion en el navegador.
2. Observar el contenido de la pantalla.</t>
  </si>
  <si>
    <t>Se muestra el titulo de la aplicacion y una descripcion indicando que se puede analizar un chat exportado desde WhatsApp.</t>
  </si>
  <si>
    <t>Se visualiza el titulo de la aplicacion y la descripcion indicando como exportar el chat desde WhatsApp.</t>
  </si>
  <si>
    <t>OK</t>
  </si>
  <si>
    <t>04/06/2026</t>
  </si>
  <si>
    <t>Gonzalo Boquete</t>
  </si>
  <si>
    <t>TC-002</t>
  </si>
  <si>
    <t>La pantalla inicial muestra el area de carga de archivos</t>
  </si>
  <si>
    <t>Verifica que el widget de carga de archivos sea visible en la pantalla inicial.</t>
  </si>
  <si>
    <t>1. Observar la pantalla.
2. Verificar la presencia del area de carga.</t>
  </si>
  <si>
    <t>El area de carga es visible y muestra el texto indicando que se pueden subir archivos .txt o .zip.</t>
  </si>
  <si>
    <t>El area de carga esta visible e indica que se pueden subir archivos .txt o .zip.</t>
  </si>
  <si>
    <t>TC-003</t>
  </si>
  <si>
    <t>La pantalla inicial muestra el mensaje informativo sobre arrastrar archivos</t>
  </si>
  <si>
    <t>Verifica que el mensaje de ayuda sobre la carga por arrastre sea visible.</t>
  </si>
  <si>
    <t>1. Observar la pantalla debajo del area de carga.</t>
  </si>
  <si>
    <t>Se muestra un recuadro informativo indicando que tambien se puede arrastrar el archivo directamente sobre el area de carga.</t>
  </si>
  <si>
    <t>Se visualiza el recuadro informativo indicando que el archivo se puede arrastrar directamente sobre el area de carga.</t>
  </si>
  <si>
    <t>TC-004</t>
  </si>
  <si>
    <t>Carga de archivo</t>
  </si>
  <si>
    <t>Se puede seleccionar un archivo de chat haciendo clic en el area de carga</t>
  </si>
  <si>
    <t>Verifica que la carga de archivos funcione correctamente usando el explorador de archivos.</t>
  </si>
  <si>
    <t>Aplicacion abierta, sin archivos cargados. Archivo chat_valido.txt disponible.</t>
  </si>
  <si>
    <t>1. Hacer clic en el boton del area de carga.
2. Seleccionar el archivo chat_valido.txt en el explorador de archivos.
3. Confirmar la seleccion.</t>
  </si>
  <si>
    <t>El nombre del archivo aparece en el area de carga indicando que fue cargado correctamente.</t>
  </si>
  <si>
    <t>El nombre del archivo aparece en el área de carga confirmando que fue seleccionado correctamente.</t>
  </si>
  <si>
    <t>TC-005</t>
  </si>
  <si>
    <t>Se puede cargar un archivo arrastandolo sobre el area de carga</t>
  </si>
  <si>
    <t>Verifica que la carga por arrastre funcione correctamente.</t>
  </si>
  <si>
    <t>1. Abrir la carpeta del archivo en el explorador de Windows.
2. Arrastrar chat_valido.txt y soltarlo sobre el area de carga de la aplicacion.</t>
  </si>
  <si>
    <t>El archivo se cargó correctamente al arrastrarlo desde el explorador de Windows sobre el área de carga. El nombre del archivo apareció en el widget.</t>
  </si>
  <si>
    <t>TC-006</t>
  </si>
  <si>
    <t>Validacion de formato</t>
  </si>
  <si>
    <t>Cargar un archivo con extension no permitida muestra un mensaje de error</t>
  </si>
  <si>
    <t>Verifica que la aplicacion rechace archivos con extension no permitida y muestre un mensaje de error.</t>
  </si>
  <si>
    <t>Aplicacion abierta, sin archivos cargados. Archivo documento.pdf disponible.</t>
  </si>
  <si>
    <t>1. Cargar el archivo documento.pdf en el area de carga.
2. Observar el mensaje que aparece en la pantalla.</t>
  </si>
  <si>
    <t>Se muestra un mensaje de error indicando que el formato no es valido y que solo se aceptan archivos .txt o .zip.</t>
  </si>
  <si>
    <t>Se muestra el mensaje de error indicando que el formato no es valido y que solo se aceptan archivos .txt o .zip.</t>
  </si>
  <si>
    <t>TC-007</t>
  </si>
  <si>
    <t>El mensaje de error desaparece al reemplazar el archivo invalido por uno valido</t>
  </si>
  <si>
    <t>Verifica que al cambiar el archivo invalido por uno valido, el mensaje de error desaparezca.</t>
  </si>
  <si>
    <t>Aplicacion abierta con documento.pdf cargado y mensaje de error visible.</t>
  </si>
  <si>
    <t>1. Hacer clic en la X del area de carga para quitar el archivo invalido.
2. Cargar el archivo chat_valido.txt.
3. Observar la pantalla.</t>
  </si>
  <si>
    <t>El mensaje de error ya no esta visible.</t>
  </si>
  <si>
    <t>Al reemplazar el archivo PDF por chat_valido.txt el mensaje de error desaparecio de la pantalla.</t>
  </si>
  <si>
    <t>TC-008</t>
  </si>
  <si>
    <t>Cargar un archivo valido no muestra ningun mensaje de error</t>
  </si>
  <si>
    <t>Verifica que no aparezcan mensajes de error al cargar un archivo con extension valida.</t>
  </si>
  <si>
    <t>1. Cargar el archivo chat_valido.txt.
2. Observar la pantalla.</t>
  </si>
  <si>
    <t>No aparece ningun mensaje de error.</t>
  </si>
  <si>
    <t>No aparecio ningun mensaje de error al cargar chat_valido.txt.</t>
  </si>
  <si>
    <t>TC-009</t>
  </si>
  <si>
    <t>Boton de procesamiento</t>
  </si>
  <si>
    <t>El boton Procesar archivo aparece al cargar un archivo valido</t>
  </si>
  <si>
    <t>Verifica que el boton de procesamiento aparezca unicamente cuando hay un archivo valido cargado.</t>
  </si>
  <si>
    <t>Aplicacion abierta, sin archivos cargados.</t>
  </si>
  <si>
    <t>El boton Procesar archivo se muestra debajo del area de carga.</t>
  </si>
  <si>
    <t>El botón 'Procesar archivo' aparece debajo del área de carga luego de seleccionar el archivo.</t>
  </si>
  <si>
    <t>TC-010</t>
  </si>
  <si>
    <t>El boton Procesar archivo no se muestra antes de cargar ningun archivo</t>
  </si>
  <si>
    <t>Verifica que el boton de procesamiento no sea visible antes de cargar ningun archivo.</t>
  </si>
  <si>
    <t>1. Observar la pantalla sin cargar ningun archivo.</t>
  </si>
  <si>
    <t>El boton Procesar archivo no esta visible.</t>
  </si>
  <si>
    <t>El botón 'Procesar archivo' no estaba visible antes de cargar ningún archivo.</t>
  </si>
  <si>
    <t>TC-011</t>
  </si>
  <si>
    <t>El boton Procesar archivo no se muestra cuando el archivo cargado es invalido</t>
  </si>
  <si>
    <t>Verifica que el boton de procesamiento no aparezca cuando el archivo cargado tiene extension invalida.</t>
  </si>
  <si>
    <t>1. Cargar el archivo documento.pdf.
2. Observar la pantalla.</t>
  </si>
  <si>
    <t>El botón 'Procesar archivo' no apareció al cargar un archivo PDF.</t>
  </si>
  <si>
    <t>TC-012</t>
  </si>
  <si>
    <t>Interfaz de procesamiento</t>
  </si>
  <si>
    <t>Al hacer clic en Procesar archivo se muestra un indicador de progreso</t>
  </si>
  <si>
    <t>Verifica que la aplicacion muestre un indicador de carga mientras procesa el chat.</t>
  </si>
  <si>
    <t>Aplicacion abierta con chat_valido.txt cargado y boton Procesar archivo visible.</t>
  </si>
  <si>
    <t>1. Hacer clic en el boton Procesar archivo.
2. Observar la pantalla de inmediato.</t>
  </si>
  <si>
    <t>Se muestra un indicador de progreso acompanado del mensaje indicando que el chat se esta procesando.</t>
  </si>
  <si>
    <t>El indicador de progreso fue detectado brevemente. El procesamiento de este chat es muy rápido.</t>
  </si>
  <si>
    <t>TC-013</t>
  </si>
  <si>
    <t>El indicador de progreso desaparece al terminar el procesamiento</t>
  </si>
  <si>
    <t>Verifica que la pantalla de carga sea reemplazada por los resultados al completar el procesamiento.</t>
  </si>
  <si>
    <t>Aplicacion procesando el chat con indicador de progreso visible.</t>
  </si>
  <si>
    <t>1. Aguardar a que el procesamiento concluya.
2. Observar la pantalla.</t>
  </si>
  <si>
    <t>El indicador de progreso desaparece y en su lugar se muestran los resultados del analisis.</t>
  </si>
  <si>
    <t>El indicador de progreso desaparecio y se mostraron los resultados del analisis del chat.</t>
  </si>
  <si>
    <t>TC-014</t>
  </si>
  <si>
    <t>Boton de restauracion</t>
  </si>
  <si>
    <t>El boton Restaurar aparece despues de procesar el chat correctamente</t>
  </si>
  <si>
    <t>Verifica que el boton de restauracion sea visible una vez que el chat fue procesado.</t>
  </si>
  <si>
    <t>Aplicacion con chat_valido.txt procesado y resultados visibles.</t>
  </si>
  <si>
    <t>1. Observar la parte superior de la pantalla de resultados.</t>
  </si>
  <si>
    <t>El boton Restaurar se muestra en la pantalla.</t>
  </si>
  <si>
    <t>El botón 'Restaurar' se muestra en la parte superior de la pantalla de resultados.</t>
  </si>
  <si>
    <t>TC-015</t>
  </si>
  <si>
    <t>Al hacer clic en Restaurar la aplicacion vuelve a la pantalla inicial</t>
  </si>
  <si>
    <t>Verifica que al presionar Restaurar la aplicacion regrese al estado inicial sin archivos cargados.</t>
  </si>
  <si>
    <t>Resultados del chat visibles con el boton Restaurar visible.</t>
  </si>
  <si>
    <t>1. Hacer clic en el boton Restaurar.
2. Observar la pantalla.</t>
  </si>
  <si>
    <t>La aplicacion vuelve a la pantalla inicial sin ningun archivo cargado y sin resultados visibles.</t>
  </si>
  <si>
    <t>Al hacer clic en 'Restaurar' la aplicacion volvio a la pantalla inicial sin archivos cargados ni resultados visibles.</t>
  </si>
  <si>
    <t>TC-016</t>
  </si>
  <si>
    <t>Despues de restaurar se puede cargar y procesar un nuevo archivo</t>
  </si>
  <si>
    <t>Verifica que despues de restaurar sea posible cargar y procesar un nuevo chat.</t>
  </si>
  <si>
    <t>Pantalla inicial despues de haber hecho clic en Restaurar.</t>
  </si>
  <si>
    <t>1. Cargar el archivo chat_valido.txt.
2. Hacer clic en Procesar archivo.
3. Observar los resultados.</t>
  </si>
  <si>
    <t>El nuevo archivo se procesa correctamente y se muestran los resultados del analisis.</t>
  </si>
  <si>
    <t>El nuevo archivo se cargo y proceso correctamente. Los resultados del analisis se mostraron sin inconvenientes.</t>
  </si>
  <si>
    <t>Resumen de ejecucion - Pruebas de interfaz</t>
  </si>
  <si>
    <t>Total de casos</t>
  </si>
  <si>
    <t>Casos OK</t>
  </si>
  <si>
    <t>Casos FALLO</t>
  </si>
  <si>
    <t>Sin ejecutar</t>
  </si>
  <si>
    <t>% Aprobacion</t>
  </si>
  <si>
    <t>Casos por categoria</t>
  </si>
  <si>
    <t>Cantidad</t>
  </si>
  <si>
    <t>Nombre del archivo</t>
  </si>
  <si>
    <t>Formato</t>
  </si>
  <si>
    <t>Usado en</t>
  </si>
  <si>
    <t>chat_valido.txt</t>
  </si>
  <si>
    <t>.txt</t>
  </si>
  <si>
    <t>TC-004, TC-005, TC-007, TC-008, TC-009, TC-012, TC-013, TC-014, TC-015, TC-016</t>
  </si>
  <si>
    <t>documento.pdf</t>
  </si>
  <si>
    <t>.pdf</t>
  </si>
  <si>
    <t>TC-006, TC-007, TC-011</t>
  </si>
  <si>
    <t>El procesamiento del archivo es casi instantáneo por el tamaño del chat de prueba. Con archivos mas grandes podria demorar mas.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</si>
</sst>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AF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E1" workbookViewId="0">
      <pane ySplit="1" topLeftCell="A8" activePane="bottomLeft" state="frozen"/>
      <selection pane="bottomLeft" activeCell="J13" sqref="J13"/>
    </sheetView>
  </sheetViews>
  <sheetFormatPr baseColWidth="10" defaultColWidth="9.140625" defaultRowHeight="15"/>
  <cols>
    <col min="1" max="1" width="10" customWidth="1"/>
    <col min="2" max="2" width="22" customWidth="1"/>
    <col min="3" max="3" width="38" customWidth="1"/>
    <col min="4" max="4" width="40" customWidth="1"/>
    <col min="5" max="5" width="38" customWidth="1"/>
    <col min="6" max="6" width="55" customWidth="1"/>
    <col min="7" max="7" width="45" customWidth="1"/>
    <col min="8" max="8" width="38" customWidth="1"/>
    <col min="9" max="9" width="12" customWidth="1"/>
    <col min="10" max="10" width="35" customWidth="1"/>
    <col min="11" max="11" width="16" customWidth="1"/>
    <col min="12" max="12" width="20" customWidth="1"/>
  </cols>
  <sheetData>
    <row r="1" spans="1:12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5.099999999999994" customHeight="1">
      <c r="A2" s="2" t="s">
        <v>12</v>
      </c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9" t="s">
        <v>20</v>
      </c>
      <c r="J2" s="2"/>
      <c r="K2" s="2" t="s">
        <v>21</v>
      </c>
      <c r="L2" s="2" t="s">
        <v>22</v>
      </c>
    </row>
    <row r="3" spans="1:12" ht="65.099999999999994" customHeight="1">
      <c r="A3" s="2" t="s">
        <v>23</v>
      </c>
      <c r="B3" s="2" t="s">
        <v>13</v>
      </c>
      <c r="C3" s="2" t="s">
        <v>24</v>
      </c>
      <c r="D3" s="2" t="s">
        <v>25</v>
      </c>
      <c r="E3" s="2" t="s">
        <v>16</v>
      </c>
      <c r="F3" s="2" t="s">
        <v>26</v>
      </c>
      <c r="G3" s="2" t="s">
        <v>27</v>
      </c>
      <c r="H3" s="2" t="s">
        <v>28</v>
      </c>
      <c r="I3" s="9" t="s">
        <v>20</v>
      </c>
      <c r="J3" s="2"/>
      <c r="K3" s="2" t="s">
        <v>21</v>
      </c>
      <c r="L3" s="2" t="s">
        <v>22</v>
      </c>
    </row>
    <row r="4" spans="1:12" ht="65.099999999999994" customHeight="1">
      <c r="A4" s="2" t="s">
        <v>29</v>
      </c>
      <c r="B4" s="2" t="s">
        <v>13</v>
      </c>
      <c r="C4" s="2" t="s">
        <v>30</v>
      </c>
      <c r="D4" s="2" t="s">
        <v>31</v>
      </c>
      <c r="E4" s="2" t="s">
        <v>16</v>
      </c>
      <c r="F4" s="2" t="s">
        <v>32</v>
      </c>
      <c r="G4" s="2" t="s">
        <v>33</v>
      </c>
      <c r="H4" s="2" t="s">
        <v>34</v>
      </c>
      <c r="I4" s="9" t="s">
        <v>20</v>
      </c>
      <c r="J4" s="2"/>
      <c r="K4" s="2" t="s">
        <v>21</v>
      </c>
      <c r="L4" s="2" t="s">
        <v>22</v>
      </c>
    </row>
    <row r="5" spans="1:12" ht="65.099999999999994" customHeight="1">
      <c r="A5" s="2" t="s">
        <v>35</v>
      </c>
      <c r="B5" s="3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9" t="s">
        <v>20</v>
      </c>
      <c r="J5" s="2"/>
      <c r="K5" s="2" t="s">
        <v>21</v>
      </c>
      <c r="L5" s="2" t="s">
        <v>22</v>
      </c>
    </row>
    <row r="6" spans="1:12" ht="65.099999999999994" customHeight="1">
      <c r="A6" s="2" t="s">
        <v>43</v>
      </c>
      <c r="B6" s="2" t="s">
        <v>36</v>
      </c>
      <c r="C6" s="2" t="s">
        <v>44</v>
      </c>
      <c r="D6" s="2" t="s">
        <v>45</v>
      </c>
      <c r="E6" s="2" t="s">
        <v>39</v>
      </c>
      <c r="F6" s="2" t="s">
        <v>46</v>
      </c>
      <c r="G6" s="2" t="s">
        <v>41</v>
      </c>
      <c r="H6" s="2" t="s">
        <v>47</v>
      </c>
      <c r="I6" s="9" t="s">
        <v>20</v>
      </c>
      <c r="J6" s="2"/>
      <c r="K6" s="2" t="s">
        <v>21</v>
      </c>
      <c r="L6" s="2" t="s">
        <v>22</v>
      </c>
    </row>
    <row r="7" spans="1:12" ht="65.099999999999994" customHeight="1">
      <c r="A7" s="2" t="s">
        <v>48</v>
      </c>
      <c r="B7" s="3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9" t="s">
        <v>20</v>
      </c>
      <c r="J7" s="2"/>
      <c r="K7" s="2" t="s">
        <v>21</v>
      </c>
      <c r="L7" s="2" t="s">
        <v>22</v>
      </c>
    </row>
    <row r="8" spans="1:12" ht="65.099999999999994" customHeight="1">
      <c r="A8" s="2" t="s">
        <v>56</v>
      </c>
      <c r="B8" s="2" t="s">
        <v>49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62</v>
      </c>
      <c r="I8" s="9" t="s">
        <v>20</v>
      </c>
      <c r="J8" s="2"/>
      <c r="K8" s="2" t="s">
        <v>21</v>
      </c>
      <c r="L8" s="2" t="s">
        <v>22</v>
      </c>
    </row>
    <row r="9" spans="1:12" ht="65.099999999999994" customHeight="1">
      <c r="A9" s="2" t="s">
        <v>63</v>
      </c>
      <c r="B9" s="2" t="s">
        <v>49</v>
      </c>
      <c r="C9" s="2" t="s">
        <v>64</v>
      </c>
      <c r="D9" s="2" t="s">
        <v>65</v>
      </c>
      <c r="E9" s="2" t="s">
        <v>39</v>
      </c>
      <c r="F9" s="2" t="s">
        <v>66</v>
      </c>
      <c r="G9" s="2" t="s">
        <v>67</v>
      </c>
      <c r="H9" s="2" t="s">
        <v>68</v>
      </c>
      <c r="I9" s="9" t="s">
        <v>20</v>
      </c>
      <c r="J9" s="2"/>
      <c r="K9" s="2" t="s">
        <v>21</v>
      </c>
      <c r="L9" s="2" t="s">
        <v>22</v>
      </c>
    </row>
    <row r="10" spans="1:12" ht="65.099999999999994" customHeight="1">
      <c r="A10" s="2" t="s">
        <v>69</v>
      </c>
      <c r="B10" s="3" t="s">
        <v>70</v>
      </c>
      <c r="C10" s="2" t="s">
        <v>71</v>
      </c>
      <c r="D10" s="2" t="s">
        <v>72</v>
      </c>
      <c r="E10" s="2" t="s">
        <v>73</v>
      </c>
      <c r="F10" s="2" t="s">
        <v>66</v>
      </c>
      <c r="G10" s="2" t="s">
        <v>74</v>
      </c>
      <c r="H10" s="2" t="s">
        <v>75</v>
      </c>
      <c r="I10" s="9" t="s">
        <v>20</v>
      </c>
      <c r="J10" s="2"/>
      <c r="K10" s="2" t="s">
        <v>21</v>
      </c>
      <c r="L10" s="2" t="s">
        <v>22</v>
      </c>
    </row>
    <row r="11" spans="1:12" ht="65.099999999999994" customHeight="1">
      <c r="A11" s="2" t="s">
        <v>76</v>
      </c>
      <c r="B11" s="2" t="s">
        <v>70</v>
      </c>
      <c r="C11" s="2" t="s">
        <v>77</v>
      </c>
      <c r="D11" s="2" t="s">
        <v>78</v>
      </c>
      <c r="E11" s="2" t="s">
        <v>73</v>
      </c>
      <c r="F11" s="2" t="s">
        <v>79</v>
      </c>
      <c r="G11" s="2" t="s">
        <v>80</v>
      </c>
      <c r="H11" s="2" t="s">
        <v>81</v>
      </c>
      <c r="I11" s="9" t="s">
        <v>20</v>
      </c>
      <c r="J11" s="2"/>
      <c r="K11" s="2" t="s">
        <v>21</v>
      </c>
      <c r="L11" s="2" t="s">
        <v>22</v>
      </c>
    </row>
    <row r="12" spans="1:12" ht="65.099999999999994" customHeight="1">
      <c r="A12" s="2" t="s">
        <v>82</v>
      </c>
      <c r="B12" s="2" t="s">
        <v>70</v>
      </c>
      <c r="C12" s="2" t="s">
        <v>83</v>
      </c>
      <c r="D12" s="2" t="s">
        <v>84</v>
      </c>
      <c r="E12" s="2" t="s">
        <v>73</v>
      </c>
      <c r="F12" s="2" t="s">
        <v>85</v>
      </c>
      <c r="G12" s="2" t="s">
        <v>80</v>
      </c>
      <c r="H12" s="2" t="s">
        <v>86</v>
      </c>
      <c r="I12" s="9" t="s">
        <v>20</v>
      </c>
      <c r="J12" s="2"/>
      <c r="K12" s="2" t="s">
        <v>21</v>
      </c>
      <c r="L12" s="2" t="s">
        <v>22</v>
      </c>
    </row>
    <row r="13" spans="1:12" ht="65.099999999999994" customHeight="1">
      <c r="A13" s="2" t="s">
        <v>87</v>
      </c>
      <c r="B13" s="3" t="s">
        <v>88</v>
      </c>
      <c r="C13" s="2" t="s">
        <v>89</v>
      </c>
      <c r="D13" s="2" t="s">
        <v>90</v>
      </c>
      <c r="E13" s="2" t="s">
        <v>91</v>
      </c>
      <c r="F13" s="2" t="s">
        <v>92</v>
      </c>
      <c r="G13" s="2" t="s">
        <v>93</v>
      </c>
      <c r="H13" s="2" t="s">
        <v>94</v>
      </c>
      <c r="I13" s="9" t="s">
        <v>20</v>
      </c>
      <c r="J13" s="2" t="s">
        <v>141</v>
      </c>
      <c r="K13" s="2" t="s">
        <v>21</v>
      </c>
      <c r="L13" s="2" t="s">
        <v>22</v>
      </c>
    </row>
    <row r="14" spans="1:12" ht="65.099999999999994" customHeight="1">
      <c r="A14" s="2" t="s">
        <v>95</v>
      </c>
      <c r="B14" s="2" t="s">
        <v>88</v>
      </c>
      <c r="C14" s="2" t="s">
        <v>96</v>
      </c>
      <c r="D14" s="2" t="s">
        <v>97</v>
      </c>
      <c r="E14" s="2" t="s">
        <v>98</v>
      </c>
      <c r="F14" s="2" t="s">
        <v>99</v>
      </c>
      <c r="G14" s="2" t="s">
        <v>100</v>
      </c>
      <c r="H14" s="2" t="s">
        <v>101</v>
      </c>
      <c r="I14" s="9" t="s">
        <v>20</v>
      </c>
      <c r="J14" s="2"/>
      <c r="K14" s="2" t="s">
        <v>21</v>
      </c>
      <c r="L14" s="2" t="s">
        <v>22</v>
      </c>
    </row>
    <row r="15" spans="1:12" ht="65.099999999999994" customHeight="1">
      <c r="A15" s="2" t="s">
        <v>102</v>
      </c>
      <c r="B15" s="3" t="s">
        <v>103</v>
      </c>
      <c r="C15" s="2" t="s">
        <v>104</v>
      </c>
      <c r="D15" s="2" t="s">
        <v>105</v>
      </c>
      <c r="E15" s="2" t="s">
        <v>106</v>
      </c>
      <c r="F15" s="2" t="s">
        <v>107</v>
      </c>
      <c r="G15" s="2" t="s">
        <v>108</v>
      </c>
      <c r="H15" s="2" t="s">
        <v>109</v>
      </c>
      <c r="I15" s="9" t="s">
        <v>20</v>
      </c>
      <c r="J15" s="2"/>
      <c r="K15" s="2" t="s">
        <v>21</v>
      </c>
      <c r="L15" s="2" t="s">
        <v>22</v>
      </c>
    </row>
    <row r="16" spans="1:12" ht="65.099999999999994" customHeight="1">
      <c r="A16" s="2" t="s">
        <v>110</v>
      </c>
      <c r="B16" s="2" t="s">
        <v>103</v>
      </c>
      <c r="C16" s="2" t="s">
        <v>111</v>
      </c>
      <c r="D16" s="2" t="s">
        <v>112</v>
      </c>
      <c r="E16" s="2" t="s">
        <v>113</v>
      </c>
      <c r="F16" s="2" t="s">
        <v>114</v>
      </c>
      <c r="G16" s="2" t="s">
        <v>115</v>
      </c>
      <c r="H16" s="2" t="s">
        <v>116</v>
      </c>
      <c r="I16" s="9" t="s">
        <v>20</v>
      </c>
      <c r="J16" s="2"/>
      <c r="K16" s="2" t="s">
        <v>21</v>
      </c>
      <c r="L16" s="2" t="s">
        <v>22</v>
      </c>
    </row>
    <row r="17" spans="1:12" ht="65.099999999999994" customHeight="1">
      <c r="A17" s="2" t="s">
        <v>117</v>
      </c>
      <c r="B17" s="2" t="s">
        <v>103</v>
      </c>
      <c r="C17" s="2" t="s">
        <v>118</v>
      </c>
      <c r="D17" s="2" t="s">
        <v>119</v>
      </c>
      <c r="E17" s="2" t="s">
        <v>120</v>
      </c>
      <c r="F17" s="2" t="s">
        <v>121</v>
      </c>
      <c r="G17" s="2" t="s">
        <v>122</v>
      </c>
      <c r="H17" s="2" t="s">
        <v>123</v>
      </c>
      <c r="I17" s="9" t="s">
        <v>20</v>
      </c>
      <c r="J17" s="2"/>
      <c r="K17" s="2" t="s">
        <v>21</v>
      </c>
      <c r="L17" s="2" t="s">
        <v>22</v>
      </c>
    </row>
  </sheetData>
  <dataValidations count="1">
    <dataValidation type="list" allowBlank="1" sqref="I2 I3 I4 I5 I6 I7 I8 I9 I10 I11 I12 I13 I14 I15 I16 I17">
      <formula1>"OK,FALLO,BLOQUEADO,N/A"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baseColWidth="10" defaultColWidth="9.140625" defaultRowHeight="15"/>
  <cols>
    <col min="1" max="1" width="42" customWidth="1"/>
    <col min="2" max="2" width="18" customWidth="1"/>
  </cols>
  <sheetData>
    <row r="1" spans="1:2" ht="27.95" customHeight="1">
      <c r="A1" s="10" t="s">
        <v>124</v>
      </c>
      <c r="B1" s="11"/>
    </row>
    <row r="2" spans="1:2" ht="20.100000000000001" customHeight="1">
      <c r="A2" s="4" t="s">
        <v>125</v>
      </c>
      <c r="B2" s="5">
        <v>16</v>
      </c>
    </row>
    <row r="3" spans="1:2" ht="20.100000000000001" customHeight="1">
      <c r="A3" s="6" t="s">
        <v>126</v>
      </c>
      <c r="B3" s="5">
        <f>COUNTIF('Casos de Prueba'!I2:I17,"OK")</f>
        <v>16</v>
      </c>
    </row>
    <row r="4" spans="1:2" ht="20.100000000000001" customHeight="1">
      <c r="A4" s="6" t="s">
        <v>127</v>
      </c>
      <c r="B4" s="5">
        <f>COUNTIF('Casos de Prueba'!I2:I17,"FALLO")</f>
        <v>0</v>
      </c>
    </row>
    <row r="5" spans="1:2" ht="20.100000000000001" customHeight="1">
      <c r="A5" s="6" t="s">
        <v>128</v>
      </c>
      <c r="B5" s="5">
        <f>COUNTBLANK('Casos de Prueba'!I2:I17)</f>
        <v>0</v>
      </c>
    </row>
    <row r="6" spans="1:2" ht="20.100000000000001" customHeight="1">
      <c r="A6" s="6" t="s">
        <v>129</v>
      </c>
      <c r="B6" s="5">
        <f>IFERROR(COUNTIF('Casos de Prueba'!I2:I17,"OK")/(COUNTIF('Casos de Prueba'!I2:I17,"OK")+COUNTIF('Casos de Prueba'!I2:I17,"FALLO"))*100,0)</f>
        <v>100</v>
      </c>
    </row>
    <row r="7" spans="1:2" ht="9.9499999999999993" customHeight="1"/>
    <row r="8" spans="1:2" ht="20.100000000000001" customHeight="1">
      <c r="A8" s="7" t="s">
        <v>130</v>
      </c>
      <c r="B8" s="7" t="s">
        <v>131</v>
      </c>
    </row>
    <row r="9" spans="1:2" ht="20.100000000000001" customHeight="1">
      <c r="A9" s="6" t="s">
        <v>13</v>
      </c>
      <c r="B9" s="5">
        <f>COUNTIF('Casos de Prueba'!B2:B17,"Pantalla inicial")</f>
        <v>3</v>
      </c>
    </row>
    <row r="10" spans="1:2" ht="20.100000000000001" customHeight="1">
      <c r="A10" s="6" t="s">
        <v>36</v>
      </c>
      <c r="B10" s="5">
        <f>COUNTIF('Casos de Prueba'!B2:B17,"Carga de archivo")</f>
        <v>2</v>
      </c>
    </row>
    <row r="11" spans="1:2" ht="20.100000000000001" customHeight="1">
      <c r="A11" s="6" t="s">
        <v>49</v>
      </c>
      <c r="B11" s="5">
        <f>COUNTIF('Casos de Prueba'!B2:B17,"Validacion de formato")</f>
        <v>3</v>
      </c>
    </row>
    <row r="12" spans="1:2" ht="20.100000000000001" customHeight="1">
      <c r="A12" s="6" t="s">
        <v>70</v>
      </c>
      <c r="B12" s="5">
        <f>COUNTIF('Casos de Prueba'!B2:B17,"Boton de procesamiento")</f>
        <v>3</v>
      </c>
    </row>
    <row r="13" spans="1:2" ht="20.100000000000001" customHeight="1">
      <c r="A13" s="6" t="s">
        <v>88</v>
      </c>
      <c r="B13" s="5">
        <f>COUNTIF('Casos de Prueba'!B2:B17,"Interfaz de procesamiento")</f>
        <v>2</v>
      </c>
    </row>
    <row r="14" spans="1:2" ht="20.100000000000001" customHeight="1">
      <c r="A14" s="6" t="s">
        <v>103</v>
      </c>
      <c r="B14" s="5">
        <f>COUNTIF('Casos de Prueba'!B2:B17,"Boton de restauracion")</f>
        <v>3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baseColWidth="10" defaultColWidth="9.140625" defaultRowHeight="15"/>
  <cols>
    <col min="1" max="1" width="28" customWidth="1"/>
    <col min="2" max="2" width="12" customWidth="1"/>
    <col min="3" max="3" width="60" customWidth="1"/>
  </cols>
  <sheetData>
    <row r="1" spans="1:3" ht="27.95" customHeight="1">
      <c r="A1" s="8" t="s">
        <v>132</v>
      </c>
      <c r="B1" s="8" t="s">
        <v>133</v>
      </c>
      <c r="C1" s="8" t="s">
        <v>134</v>
      </c>
    </row>
    <row r="2" spans="1:3" ht="20.100000000000001" customHeight="1">
      <c r="A2" s="5" t="s">
        <v>135</v>
      </c>
      <c r="B2" s="5" t="s">
        <v>136</v>
      </c>
      <c r="C2" s="5" t="s">
        <v>137</v>
      </c>
    </row>
    <row r="3" spans="1:3" ht="20.100000000000001" customHeight="1">
      <c r="A3" s="5" t="s">
        <v>138</v>
      </c>
      <c r="B3" s="5" t="s">
        <v>139</v>
      </c>
      <c r="C3" s="5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Casos de Prueba</vt:lpstr>
      <vt:lpstr>Resumen</vt:lpstr>
      <vt:lpstr>Archivos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boquete</cp:lastModifiedBy>
  <dcterms:created xsi:type="dcterms:W3CDTF">2026-06-04T21:42:38Z</dcterms:created>
  <dcterms:modified xsi:type="dcterms:W3CDTF">2026-06-04T23:17:31Z</dcterms:modified>
</cp:coreProperties>
</file>